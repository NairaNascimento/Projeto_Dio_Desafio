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ira\Documents\CURSOS\Bootcamp Santander Excel com inteligencia artificial\"/>
    </mc:Choice>
  </mc:AlternateContent>
  <bookViews>
    <workbookView xWindow="0" yWindow="0" windowWidth="20490" windowHeight="6750" tabRatio="286"/>
  </bookViews>
  <sheets>
    <sheet name="APP" sheetId="1" r:id="rId1"/>
    <sheet name="TB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2" i="1" l="1"/>
  <c r="C70" i="1" l="1"/>
  <c r="C34" i="1"/>
  <c r="D34" i="1" s="1"/>
  <c r="A34" i="2"/>
  <c r="A33" i="2"/>
  <c r="A31" i="2"/>
  <c r="A30" i="2"/>
  <c r="A28" i="2"/>
  <c r="A27" i="2"/>
  <c r="C59" i="1"/>
  <c r="A26" i="2"/>
  <c r="D14" i="1"/>
  <c r="A29" i="2"/>
  <c r="A32" i="2"/>
  <c r="C68" i="1" s="1"/>
  <c r="D70" i="1" l="1"/>
  <c r="D68" i="1"/>
  <c r="C69" i="1"/>
  <c r="D69" i="1" s="1"/>
  <c r="C65" i="1"/>
  <c r="D65" i="1" s="1"/>
  <c r="D62" i="1"/>
  <c r="C66" i="1"/>
  <c r="D66" i="1" s="1"/>
  <c r="C63" i="1"/>
  <c r="D63" i="1" s="1"/>
  <c r="C67" i="1"/>
  <c r="D67" i="1" s="1"/>
  <c r="C64" i="1"/>
  <c r="D64" i="1" s="1"/>
  <c r="C31" i="1"/>
  <c r="A17" i="2"/>
  <c r="A18" i="2"/>
  <c r="A19" i="2"/>
  <c r="A20" i="2"/>
  <c r="A21" i="2"/>
  <c r="A16" i="2"/>
  <c r="A11" i="2"/>
  <c r="A12" i="2"/>
  <c r="A13" i="2"/>
  <c r="A14" i="2"/>
  <c r="A15" i="2"/>
  <c r="A10" i="2"/>
  <c r="A4" i="2"/>
  <c r="A6" i="2"/>
  <c r="A7" i="2"/>
  <c r="A8" i="2"/>
  <c r="A9" i="2"/>
  <c r="A5" i="2"/>
  <c r="D71" i="1" l="1"/>
  <c r="C35" i="1"/>
  <c r="D35" i="1" s="1"/>
  <c r="H4" i="2"/>
  <c r="C37" i="1"/>
  <c r="D37" i="1" s="1"/>
  <c r="C36" i="1"/>
  <c r="D36" i="1" s="1"/>
  <c r="C39" i="1"/>
  <c r="D39" i="1" s="1"/>
  <c r="C38" i="1"/>
  <c r="D38" i="1" s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40" i="1" l="1"/>
</calcChain>
</file>

<file path=xl/sharedStrings.xml><?xml version="1.0" encoding="utf-8"?>
<sst xmlns="http://schemas.openxmlformats.org/spreadsheetml/2006/main" count="108" uniqueCount="50">
  <si>
    <t>Quanto investir por mês?</t>
  </si>
  <si>
    <t>Por quantos anos?</t>
  </si>
  <si>
    <t>Taxa de rendedimento mensal?</t>
  </si>
  <si>
    <t>Dividendo mensais?</t>
  </si>
  <si>
    <t>INVESTIMENTO MENSAL</t>
  </si>
  <si>
    <t>Patrimônio acumulado 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</si>
  <si>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</si>
  <si>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</si>
  <si>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</si>
  <si>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</si>
  <si>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</si>
  <si>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</si>
  <si>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</si>
  <si>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</si>
  <si>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Rendiemnto da carteira</t>
  </si>
  <si>
    <t>CONFIGURAÇÕES</t>
  </si>
  <si>
    <t>VALOR A SER INVESTIDO POR MÊS</t>
  </si>
  <si>
    <t>PERFIL</t>
  </si>
  <si>
    <t>Percentual sugerido</t>
  </si>
  <si>
    <t>Valores</t>
  </si>
  <si>
    <t>PAPEL</t>
  </si>
  <si>
    <t>TIJOLO</t>
  </si>
  <si>
    <t>TIPO DE FII</t>
  </si>
  <si>
    <t>FOFS</t>
  </si>
  <si>
    <t>DESENVOLVIMENTO</t>
  </si>
  <si>
    <t>HÍDRIDOS</t>
  </si>
  <si>
    <t>HOTELARIAS</t>
  </si>
  <si>
    <t>TIPO FII</t>
  </si>
  <si>
    <t>Conservador</t>
  </si>
  <si>
    <t>CHAVE</t>
  </si>
  <si>
    <t>Moderado</t>
  </si>
  <si>
    <t>Agressivo</t>
  </si>
  <si>
    <t>%</t>
  </si>
  <si>
    <t>Moderado-TIJOLO</t>
  </si>
  <si>
    <t>Sugestão de investimento (30%)</t>
  </si>
  <si>
    <t>SUGESTÃO</t>
  </si>
  <si>
    <t>PARA QUE</t>
  </si>
  <si>
    <t>Necessidades</t>
  </si>
  <si>
    <t>Desejos</t>
  </si>
  <si>
    <t>MOTIVO</t>
  </si>
  <si>
    <t>Contas</t>
  </si>
  <si>
    <t>Aluguel/hipoteca</t>
  </si>
  <si>
    <t>Entretenimento</t>
  </si>
  <si>
    <t>Mínima</t>
  </si>
  <si>
    <t>Média</t>
  </si>
  <si>
    <t>Máxima</t>
  </si>
  <si>
    <t>Economias</t>
  </si>
  <si>
    <t>Compras</t>
  </si>
  <si>
    <t>Hobbies</t>
  </si>
  <si>
    <t>Mantimentos/Transporte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</si>
</sst>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R$&quot;#,##0.00;[Red]\-&quot;R$&quot;#,##0.00"/>
    <numFmt numFmtId="44" formatCode="_-&quot;R$&quot;* #,##0.00_-;\-&quot;R$&quot;* #,##0.00_-;_-&quot;R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rgb="FF9C65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D8137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3" borderId="0" applyNumberFormat="0" applyBorder="0" applyAlignment="0" applyProtection="0"/>
  </cellStyleXfs>
  <cellXfs count="73">
    <xf numFmtId="0" fontId="0" fillId="0" borderId="0" xfId="0"/>
    <xf numFmtId="0" fontId="2" fillId="0" borderId="6" xfId="0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6" xfId="0" applyNumberFormat="1" applyBorder="1" applyAlignment="1">
      <alignment horizontal="center"/>
    </xf>
    <xf numFmtId="8" fontId="2" fillId="0" borderId="6" xfId="1" applyNumberFormat="1" applyFont="1" applyBorder="1" applyAlignment="1">
      <alignment horizontal="center" vertical="center"/>
    </xf>
    <xf numFmtId="8" fontId="0" fillId="0" borderId="6" xfId="0" applyNumberFormat="1" applyBorder="1" applyAlignment="1">
      <alignment horizontal="center"/>
    </xf>
    <xf numFmtId="8" fontId="0" fillId="5" borderId="8" xfId="0" applyNumberFormat="1" applyFill="1" applyBorder="1" applyAlignment="1">
      <alignment horizontal="center"/>
    </xf>
    <xf numFmtId="8" fontId="2" fillId="5" borderId="6" xfId="0" applyNumberFormat="1" applyFont="1" applyFill="1" applyBorder="1" applyAlignment="1">
      <alignment horizontal="center" vertical="center"/>
    </xf>
    <xf numFmtId="8" fontId="2" fillId="5" borderId="8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left" indent="3"/>
    </xf>
    <xf numFmtId="8" fontId="0" fillId="5" borderId="11" xfId="0" applyNumberFormat="1" applyFill="1" applyBorder="1" applyAlignment="1">
      <alignment horizontal="center"/>
    </xf>
    <xf numFmtId="8" fontId="0" fillId="5" borderId="12" xfId="0" applyNumberFormat="1" applyFill="1" applyBorder="1" applyAlignment="1">
      <alignment horizontal="center"/>
    </xf>
    <xf numFmtId="0" fontId="6" fillId="5" borderId="5" xfId="0" applyFont="1" applyFill="1" applyBorder="1" applyAlignment="1">
      <alignment horizontal="left" indent="3"/>
    </xf>
    <xf numFmtId="8" fontId="0" fillId="5" borderId="13" xfId="0" applyNumberFormat="1" applyFill="1" applyBorder="1" applyAlignment="1">
      <alignment horizontal="center"/>
    </xf>
    <xf numFmtId="8" fontId="0" fillId="5" borderId="6" xfId="0" applyNumberFormat="1" applyFill="1" applyBorder="1" applyAlignment="1">
      <alignment horizontal="center"/>
    </xf>
    <xf numFmtId="0" fontId="6" fillId="5" borderId="7" xfId="0" applyFont="1" applyFill="1" applyBorder="1" applyAlignment="1">
      <alignment horizontal="left" indent="3"/>
    </xf>
    <xf numFmtId="8" fontId="0" fillId="5" borderId="14" xfId="0" applyNumberFormat="1" applyFill="1" applyBorder="1" applyAlignment="1">
      <alignment horizontal="center"/>
    </xf>
    <xf numFmtId="0" fontId="8" fillId="3" borderId="0" xfId="3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0" xfId="0" applyNumberFormat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8" fillId="3" borderId="0" xfId="2" applyFont="1" applyFill="1"/>
    <xf numFmtId="0" fontId="8" fillId="3" borderId="0" xfId="3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44" fontId="2" fillId="4" borderId="18" xfId="0" applyNumberFormat="1" applyFont="1" applyFill="1" applyBorder="1" applyAlignment="1">
      <alignment horizontal="center"/>
    </xf>
    <xf numFmtId="9" fontId="0" fillId="5" borderId="11" xfId="0" applyNumberFormat="1" applyFill="1" applyBorder="1" applyAlignment="1">
      <alignment horizontal="center"/>
    </xf>
    <xf numFmtId="44" fontId="0" fillId="5" borderId="12" xfId="0" applyNumberFormat="1" applyFill="1" applyBorder="1" applyAlignment="1">
      <alignment horizontal="center"/>
    </xf>
    <xf numFmtId="9" fontId="0" fillId="5" borderId="13" xfId="0" applyNumberFormat="1" applyFill="1" applyBorder="1" applyAlignment="1">
      <alignment horizontal="center"/>
    </xf>
    <xf numFmtId="44" fontId="0" fillId="5" borderId="6" xfId="0" applyNumberFormat="1" applyFill="1" applyBorder="1" applyAlignment="1">
      <alignment horizontal="center"/>
    </xf>
    <xf numFmtId="9" fontId="0" fillId="5" borderId="20" xfId="0" applyNumberFormat="1" applyFill="1" applyBorder="1" applyAlignment="1">
      <alignment horizontal="center"/>
    </xf>
    <xf numFmtId="44" fontId="0" fillId="5" borderId="2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left" indent="3"/>
    </xf>
    <xf numFmtId="0" fontId="0" fillId="5" borderId="10" xfId="0" applyFill="1" applyBorder="1" applyAlignment="1">
      <alignment horizontal="left" indent="3"/>
    </xf>
    <xf numFmtId="0" fontId="0" fillId="5" borderId="5" xfId="0" applyFill="1" applyBorder="1" applyAlignment="1">
      <alignment horizontal="left" indent="3"/>
    </xf>
    <xf numFmtId="0" fontId="0" fillId="5" borderId="19" xfId="0" applyFill="1" applyBorder="1" applyAlignment="1">
      <alignment horizontal="left" indent="3"/>
    </xf>
    <xf numFmtId="0" fontId="4" fillId="6" borderId="1" xfId="0" applyFont="1" applyFill="1" applyBorder="1" applyAlignment="1">
      <alignment horizontal="left" vertical="center" indent="3"/>
    </xf>
    <xf numFmtId="0" fontId="4" fillId="6" borderId="9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left" indent="3"/>
    </xf>
    <xf numFmtId="0" fontId="9" fillId="3" borderId="0" xfId="3" applyFont="1" applyBorder="1" applyAlignment="1">
      <alignment horizontal="left" indent="3"/>
    </xf>
    <xf numFmtId="9" fontId="0" fillId="5" borderId="10" xfId="0" applyNumberFormat="1" applyFill="1" applyBorder="1" applyAlignment="1">
      <alignment horizontal="left" indent="3"/>
    </xf>
    <xf numFmtId="9" fontId="0" fillId="5" borderId="5" xfId="0" applyNumberFormat="1" applyFill="1" applyBorder="1" applyAlignment="1">
      <alignment horizontal="left" indent="3"/>
    </xf>
    <xf numFmtId="9" fontId="0" fillId="0" borderId="0" xfId="0" applyNumberFormat="1"/>
    <xf numFmtId="0" fontId="8" fillId="3" borderId="0" xfId="3" applyBorder="1" applyAlignment="1">
      <alignment horizontal="left" indent="3"/>
    </xf>
    <xf numFmtId="9" fontId="0" fillId="5" borderId="22" xfId="0" applyNumberFormat="1" applyFill="1" applyBorder="1" applyAlignment="1">
      <alignment horizontal="left" indent="3"/>
    </xf>
    <xf numFmtId="8" fontId="2" fillId="5" borderId="0" xfId="1" applyNumberFormat="1" applyFont="1" applyFill="1" applyBorder="1" applyAlignment="1">
      <alignment horizontal="center"/>
    </xf>
    <xf numFmtId="8" fontId="9" fillId="3" borderId="0" xfId="3" applyNumberFormat="1" applyFont="1" applyBorder="1" applyAlignment="1">
      <alignment horizontal="center"/>
    </xf>
    <xf numFmtId="0" fontId="9" fillId="3" borderId="0" xfId="3" applyFont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indent="3"/>
    </xf>
    <xf numFmtId="0" fontId="6" fillId="5" borderId="13" xfId="0" applyFont="1" applyFill="1" applyBorder="1" applyAlignment="1">
      <alignment horizontal="left" indent="3"/>
    </xf>
    <xf numFmtId="0" fontId="0" fillId="5" borderId="7" xfId="0" applyFill="1" applyBorder="1" applyAlignment="1">
      <alignment horizontal="left" indent="3"/>
    </xf>
    <xf numFmtId="0" fontId="0" fillId="5" borderId="14" xfId="0" applyFill="1" applyBorder="1" applyAlignment="1">
      <alignment horizontal="left" indent="3"/>
    </xf>
    <xf numFmtId="0" fontId="4" fillId="6" borderId="3" xfId="0" applyFont="1" applyFill="1" applyBorder="1" applyAlignment="1">
      <alignment horizontal="left" vertical="center" indent="3"/>
    </xf>
    <xf numFmtId="0" fontId="4" fillId="6" borderId="15" xfId="0" applyFont="1" applyFill="1" applyBorder="1" applyAlignment="1">
      <alignment horizontal="left" vertical="center" indent="3"/>
    </xf>
    <xf numFmtId="0" fontId="4" fillId="6" borderId="4" xfId="0" applyFont="1" applyFill="1" applyBorder="1" applyAlignment="1">
      <alignment horizontal="left" vertical="center" indent="3"/>
    </xf>
    <xf numFmtId="0" fontId="6" fillId="5" borderId="5" xfId="0" applyFont="1" applyFill="1" applyBorder="1" applyAlignment="1">
      <alignment horizontal="left" vertical="center" indent="3"/>
    </xf>
    <xf numFmtId="0" fontId="6" fillId="5" borderId="13" xfId="0" applyFont="1" applyFill="1" applyBorder="1" applyAlignment="1">
      <alignment horizontal="left" vertical="center" indent="3"/>
    </xf>
    <xf numFmtId="0" fontId="7" fillId="5" borderId="5" xfId="0" applyFont="1" applyFill="1" applyBorder="1" applyAlignment="1">
      <alignment horizontal="left" vertical="center" indent="3"/>
    </xf>
    <xf numFmtId="0" fontId="7" fillId="5" borderId="13" xfId="0" applyFont="1" applyFill="1" applyBorder="1" applyAlignment="1">
      <alignment horizontal="left" vertical="center" indent="3"/>
    </xf>
    <xf numFmtId="0" fontId="7" fillId="5" borderId="7" xfId="0" applyFont="1" applyFill="1" applyBorder="1" applyAlignment="1">
      <alignment horizontal="left" vertical="center" indent="3"/>
    </xf>
    <xf numFmtId="0" fontId="7" fillId="5" borderId="14" xfId="0" applyFont="1" applyFill="1" applyBorder="1" applyAlignment="1">
      <alignment horizontal="left" vertical="center" indent="3"/>
    </xf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1"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ED8137"/>
      <color rgb="FFD547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A2-45BA-BF2D-FFC6024FCBEC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318-416B-8C86-1A7AEBC2950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A2-45BA-BF2D-FFC6024FCBEC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A2-45BA-BF2D-FFC6024FCBEC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8A2-45BA-BF2D-FFC6024FCBEC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8A2-45BA-BF2D-FFC6024FCBE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HÍDRIDOS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8-416B-8C86-1A7AEBC2950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APP!$B$62:$B$70</c:f>
              <c:strCache>
                <c:ptCount val="9"/>
                <c:pt idx="0">
                  <c:v>Aluguel/hipoteca</c:v>
                </c:pt>
                <c:pt idx="1">
                  <c:v>Mantimentos/Transporte</c:v>
                </c:pt>
                <c:pt idx="2">
                  <c:v>Contas</c:v>
                </c:pt>
                <c:pt idx="3">
                  <c:v>Compras</c:v>
                </c:pt>
                <c:pt idx="4">
                  <c:v>Entretenimento</c:v>
                </c:pt>
                <c:pt idx="5">
                  <c:v>Hobbies</c:v>
                </c:pt>
                <c:pt idx="6">
                  <c:v>Mínima</c:v>
                </c:pt>
                <c:pt idx="7">
                  <c:v>Média</c:v>
                </c:pt>
                <c:pt idx="8">
                  <c:v>Máxima</c:v>
                </c:pt>
              </c:strCache>
            </c:strRef>
          </c:cat>
          <c:val>
            <c:numRef>
              <c:f>APP!$C$62:$C$70</c:f>
              <c:numCache>
                <c:formatCode>0%</c:formatCode>
                <c:ptCount val="9"/>
                <c:pt idx="0">
                  <c:v>0.5</c:v>
                </c:pt>
                <c:pt idx="1">
                  <c:v>0.3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E-42D9-A35D-D495DFCD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8021151"/>
        <c:axId val="1978022815"/>
      </c:barChart>
      <c:barChart>
        <c:barDir val="bar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APP!$B$62:$B$70</c:f>
              <c:strCache>
                <c:ptCount val="9"/>
                <c:pt idx="0">
                  <c:v>Aluguel/hipoteca</c:v>
                </c:pt>
                <c:pt idx="1">
                  <c:v>Mantimentos/Transporte</c:v>
                </c:pt>
                <c:pt idx="2">
                  <c:v>Contas</c:v>
                </c:pt>
                <c:pt idx="3">
                  <c:v>Compras</c:v>
                </c:pt>
                <c:pt idx="4">
                  <c:v>Entretenimento</c:v>
                </c:pt>
                <c:pt idx="5">
                  <c:v>Hobbies</c:v>
                </c:pt>
                <c:pt idx="6">
                  <c:v>Mínima</c:v>
                </c:pt>
                <c:pt idx="7">
                  <c:v>Média</c:v>
                </c:pt>
                <c:pt idx="8">
                  <c:v>Máxima</c:v>
                </c:pt>
              </c:strCache>
            </c:strRef>
          </c:cat>
          <c:val>
            <c:numRef>
              <c:f>APP!$D$62:$D$70</c:f>
              <c:numCache>
                <c:formatCode>_("R$"* #,##0.00_);_("R$"* \(#,##0.00\);_("R$"* "-"??_);_(@_)</c:formatCode>
                <c:ptCount val="9"/>
                <c:pt idx="0">
                  <c:v>100</c:v>
                </c:pt>
                <c:pt idx="1">
                  <c:v>60</c:v>
                </c:pt>
                <c:pt idx="2">
                  <c:v>40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BE-42D9-A35D-D495DFCD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4053583"/>
        <c:axId val="4051087"/>
      </c:barChart>
      <c:catAx>
        <c:axId val="197802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022815"/>
        <c:crosses val="autoZero"/>
        <c:auto val="1"/>
        <c:lblAlgn val="ctr"/>
        <c:lblOffset val="100"/>
        <c:noMultiLvlLbl val="0"/>
      </c:catAx>
      <c:valAx>
        <c:axId val="197802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78021151"/>
        <c:crosses val="autoZero"/>
        <c:crossBetween val="between"/>
      </c:valAx>
      <c:valAx>
        <c:axId val="4051087"/>
        <c:scaling>
          <c:orientation val="minMax"/>
        </c:scaling>
        <c:delete val="0"/>
        <c:axPos val="t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53583"/>
        <c:crosses val="max"/>
        <c:crossBetween val="between"/>
      </c:valAx>
      <c:catAx>
        <c:axId val="40535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0510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296333</xdr:colOff>
      <xdr:row>1</xdr:row>
      <xdr:rowOff>16933</xdr:rowOff>
    </xdr:from>
    <xdr:to>
      <xdr:col>4</xdr:col>
      <xdr:colOff>31749</xdr:colOff>
      <xdr:row>9</xdr:row>
      <xdr:rowOff>21167</xdr:rowOff>
    </xdr:to>
    <xdr:grpSp>
      <xdr:nvGrpSpPr>
        <xdr:cNvPr id="5" name="Agrupar 4"/>
        <xdr:cNvGrpSpPr/>
      </xdr:nvGrpSpPr>
      <xdr:grpSpPr>
        <a:xfrm>
          <a:off x="296333" y="207433"/>
          <a:ext cx="6328833" cy="1528234"/>
          <a:chOff x="664885" y="205687"/>
          <a:chExt cx="5948379" cy="1326851"/>
        </a:xfrm>
      </xdr:grpSpPr>
      <xdr:sp macro="" textlink="">
        <xdr:nvSpPr>
          <xdr:cNvPr id="2" name="Retângulo Arredondado 1"/>
          <xdr:cNvSpPr/>
        </xdr:nvSpPr>
        <xdr:spPr>
          <a:xfrm>
            <a:off x="664885" y="205687"/>
            <a:ext cx="5948379" cy="1326851"/>
          </a:xfrm>
          <a:prstGeom prst="roundRect">
            <a:avLst/>
          </a:prstGeom>
          <a:solidFill>
            <a:srgbClr val="ED8137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6600" baseline="0">
                <a:solidFill>
                  <a:sysClr val="windowText" lastClr="000000"/>
                </a:solidFill>
                <a:latin typeface="Algerian" panose="04020705040A02060702" pitchFamily="82" charset="0"/>
                <a:cs typeface="72 Black" panose="020B0A04030603020204" pitchFamily="34" charset="0"/>
              </a:rPr>
              <a:t>N INVEST</a:t>
            </a:r>
          </a:p>
        </xdr:txBody>
      </xdr:sp>
      <xdr:pic>
        <xdr:nvPicPr>
          <xdr:cNvPr id="3" name="Imagem 2"/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duotone>
              <a:prstClr val="black"/>
              <a:schemeClr val="bg1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46803" y="626499"/>
            <a:ext cx="589364" cy="58936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5291</xdr:colOff>
      <xdr:row>40</xdr:row>
      <xdr:rowOff>162984</xdr:rowOff>
    </xdr:from>
    <xdr:to>
      <xdr:col>4</xdr:col>
      <xdr:colOff>31750</xdr:colOff>
      <xdr:row>55</xdr:row>
      <xdr:rowOff>127000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328083</xdr:colOff>
      <xdr:row>71</xdr:row>
      <xdr:rowOff>152400</xdr:rowOff>
    </xdr:from>
    <xdr:to>
      <xdr:col>4</xdr:col>
      <xdr:colOff>0</xdr:colOff>
      <xdr:row>86</xdr:row>
      <xdr:rowOff>38100</xdr:rowOff>
    </xdr:to>
    <xdr:graphicFrame macro="">
      <xdr:nvGraphicFramePr>
        <xdr:cNvPr id="17" name="Gráfico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showGridLines="0" tabSelected="1" zoomScale="90" zoomScaleNormal="90" workbookViewId="0">
      <selection activeCell="A90" sqref="A90:XFD1048576"/>
    </sheetView>
  </sheetViews>
  <sheetFormatPr defaultColWidth="0" defaultRowHeight="15" zeroHeight="1" x14ac:dyDescent="0.25"/>
  <cols>
    <col min="1" max="1" width="5.28515625" customWidth="1"/>
    <col min="2" max="2" width="46.42578125" customWidth="1"/>
    <col min="3" max="3" width="31.28515625" bestFit="1" customWidth="1"/>
    <col min="4" max="4" width="15.85546875" customWidth="1"/>
    <col min="5" max="5" width="5.28515625" customWidth="1"/>
    <col min="6" max="8" width="3.7109375" hidden="1" customWidth="1"/>
    <col min="9" max="11" width="9.140625" hidden="1" customWidth="1"/>
    <col min="12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ht="15.75" thickBot="1" x14ac:dyDescent="0.3"/>
    <row r="11" spans="2:4" ht="21" x14ac:dyDescent="0.25">
      <c r="B11" s="57" t="s">
        <v>15</v>
      </c>
      <c r="C11" s="58"/>
      <c r="D11" s="59"/>
    </row>
    <row r="12" spans="2:4" ht="15.75" x14ac:dyDescent="0.25">
      <c r="B12" s="60" t="s">
        <v>13</v>
      </c>
      <c r="C12" s="61"/>
      <c r="D12" s="6">
        <v>2000</v>
      </c>
    </row>
    <row r="13" spans="2:4" ht="15.75" x14ac:dyDescent="0.25">
      <c r="B13" s="60" t="s">
        <v>14</v>
      </c>
      <c r="C13" s="61"/>
      <c r="D13" s="4">
        <v>6.0000000000000001E-3</v>
      </c>
    </row>
    <row r="14" spans="2:4" ht="15.75" thickBot="1" x14ac:dyDescent="0.3">
      <c r="B14" s="62" t="s">
        <v>34</v>
      </c>
      <c r="C14" s="63"/>
      <c r="D14" s="7">
        <f>D12*30%</f>
        <v>600</v>
      </c>
    </row>
    <row r="15" spans="2:4" ht="15.75" thickBot="1" x14ac:dyDescent="0.3"/>
    <row r="16" spans="2:4" ht="31.5" customHeight="1" x14ac:dyDescent="0.25">
      <c r="B16" s="64" t="s">
        <v>4</v>
      </c>
      <c r="C16" s="65"/>
      <c r="D16" s="66"/>
    </row>
    <row r="17" spans="1:4" ht="24" customHeight="1" x14ac:dyDescent="0.25">
      <c r="B17" s="67" t="s">
        <v>0</v>
      </c>
      <c r="C17" s="68"/>
      <c r="D17" s="5">
        <v>200</v>
      </c>
    </row>
    <row r="18" spans="1:4" ht="24" customHeight="1" x14ac:dyDescent="0.25">
      <c r="B18" s="67" t="s">
        <v>1</v>
      </c>
      <c r="C18" s="68"/>
      <c r="D18" s="1">
        <v>10</v>
      </c>
    </row>
    <row r="19" spans="1:4" ht="24" customHeight="1" x14ac:dyDescent="0.25">
      <c r="B19" s="67" t="s">
        <v>2</v>
      </c>
      <c r="C19" s="68"/>
      <c r="D19" s="2">
        <v>1.0789999999999999E-2</v>
      </c>
    </row>
    <row r="20" spans="1:4" ht="24" customHeight="1" x14ac:dyDescent="0.25">
      <c r="B20" s="69" t="s">
        <v>5</v>
      </c>
      <c r="C20" s="70"/>
      <c r="D20" s="8">
        <f>FV(Taxa_Mensal,Qtd_Anos*12,Aporte*-1)</f>
        <v>48656.842506034438</v>
      </c>
    </row>
    <row r="21" spans="1:4" ht="24" customHeight="1" thickBot="1" x14ac:dyDescent="0.3">
      <c r="B21" s="71" t="s">
        <v>3</v>
      </c>
      <c r="C21" s="72"/>
      <c r="D21" s="9">
        <f>Patrimonio*Rendimento_carteira</f>
        <v>291.94105503620665</v>
      </c>
    </row>
    <row r="22" spans="1:4" ht="15.75" thickBot="1" x14ac:dyDescent="0.3"/>
    <row r="23" spans="1:4" ht="26.25" x14ac:dyDescent="0.25">
      <c r="B23" s="44" t="s">
        <v>11</v>
      </c>
      <c r="C23" s="45"/>
      <c r="D23" s="46" t="s">
        <v>12</v>
      </c>
    </row>
    <row r="24" spans="1:4" ht="15.75" x14ac:dyDescent="0.25">
      <c r="A24" s="3">
        <v>2</v>
      </c>
      <c r="B24" s="10" t="s">
        <v>6</v>
      </c>
      <c r="C24" s="11">
        <f>FV($D$19,$A24*12,$D$17*-1)</f>
        <v>5445.5254595290435</v>
      </c>
      <c r="D24" s="12">
        <f>C24*Rendimento_carteira</f>
        <v>32.673152757174265</v>
      </c>
    </row>
    <row r="25" spans="1:4" ht="15.75" x14ac:dyDescent="0.25">
      <c r="A25" s="3">
        <v>5</v>
      </c>
      <c r="B25" s="13" t="s">
        <v>7</v>
      </c>
      <c r="C25" s="14">
        <f>FV($D$19,$A25*12,$D$17*-1)</f>
        <v>16755.382799697527</v>
      </c>
      <c r="D25" s="15">
        <f>C25*Rendimento_carteira</f>
        <v>100.53229679818516</v>
      </c>
    </row>
    <row r="26" spans="1:4" ht="15.75" x14ac:dyDescent="0.25">
      <c r="A26" s="3">
        <v>10</v>
      </c>
      <c r="B26" s="13" t="s">
        <v>8</v>
      </c>
      <c r="C26" s="14">
        <f>FV($D$19,$A26*12,$D$17*-1)</f>
        <v>48656.842506034438</v>
      </c>
      <c r="D26" s="15">
        <f>C26*Rendimento_carteira</f>
        <v>291.94105503620665</v>
      </c>
    </row>
    <row r="27" spans="1:4" ht="15.75" x14ac:dyDescent="0.25">
      <c r="A27" s="3">
        <v>20</v>
      </c>
      <c r="B27" s="13" t="s">
        <v>9</v>
      </c>
      <c r="C27" s="14">
        <f>FV($D$19,$A27*12,$D$17*-1)</f>
        <v>225039.68001941612</v>
      </c>
      <c r="D27" s="15">
        <f>C27*Rendimento_carteira</f>
        <v>1350.2380801164968</v>
      </c>
    </row>
    <row r="28" spans="1:4" ht="16.5" thickBot="1" x14ac:dyDescent="0.3">
      <c r="A28" s="3">
        <v>30</v>
      </c>
      <c r="B28" s="16" t="s">
        <v>10</v>
      </c>
      <c r="C28" s="17">
        <f>FV($D$19,$A28*12,$D$17*-1)</f>
        <v>864433.93100094295</v>
      </c>
      <c r="D28" s="7">
        <f>C28*Rendimento_carteira</f>
        <v>5186.6035860056581</v>
      </c>
    </row>
    <row r="29" spans="1:4" x14ac:dyDescent="0.25"/>
    <row r="30" spans="1:4" x14ac:dyDescent="0.25">
      <c r="B30" s="48" t="s">
        <v>17</v>
      </c>
      <c r="C30" s="56" t="s">
        <v>31</v>
      </c>
      <c r="D30" s="56"/>
    </row>
    <row r="31" spans="1:4" x14ac:dyDescent="0.25">
      <c r="B31" s="47" t="s">
        <v>16</v>
      </c>
      <c r="C31" s="54">
        <f>Aporte</f>
        <v>200</v>
      </c>
      <c r="D31" s="54"/>
    </row>
    <row r="32" spans="1:4" ht="15.75" thickBot="1" x14ac:dyDescent="0.3"/>
    <row r="33" spans="2:4" x14ac:dyDescent="0.25">
      <c r="B33" s="40" t="s">
        <v>22</v>
      </c>
      <c r="C33" s="29" t="s">
        <v>18</v>
      </c>
      <c r="D33" s="30" t="s">
        <v>19</v>
      </c>
    </row>
    <row r="34" spans="2:4" x14ac:dyDescent="0.25">
      <c r="B34" s="41" t="s">
        <v>20</v>
      </c>
      <c r="C34" s="34">
        <f>VLOOKUP($C$30&amp;"-"&amp;B34,TB!A:D,4,0)</f>
        <v>0.5</v>
      </c>
      <c r="D34" s="35">
        <f>C34*$C$31</f>
        <v>100</v>
      </c>
    </row>
    <row r="35" spans="2:4" x14ac:dyDescent="0.25">
      <c r="B35" s="42" t="s">
        <v>21</v>
      </c>
      <c r="C35" s="36">
        <f>VLOOKUP($C$30&amp;"-"&amp;B35,TB!A:D,4,0)</f>
        <v>0.1</v>
      </c>
      <c r="D35" s="37">
        <f t="shared" ref="D35:D39" si="0">C35*$C$31</f>
        <v>20</v>
      </c>
    </row>
    <row r="36" spans="2:4" x14ac:dyDescent="0.25">
      <c r="B36" s="42" t="s">
        <v>25</v>
      </c>
      <c r="C36" s="36">
        <f>VLOOKUP($C$30&amp;"-"&amp;B36,TB!A:D,4,0)</f>
        <v>0.05</v>
      </c>
      <c r="D36" s="37">
        <f t="shared" si="0"/>
        <v>10</v>
      </c>
    </row>
    <row r="37" spans="2:4" x14ac:dyDescent="0.25">
      <c r="B37" s="42" t="s">
        <v>23</v>
      </c>
      <c r="C37" s="36">
        <f>VLOOKUP($C$30&amp;"-"&amp;B37,TB!A:D,4,0)</f>
        <v>0.05</v>
      </c>
      <c r="D37" s="37">
        <f t="shared" si="0"/>
        <v>10</v>
      </c>
    </row>
    <row r="38" spans="2:4" x14ac:dyDescent="0.25">
      <c r="B38" s="42" t="s">
        <v>24</v>
      </c>
      <c r="C38" s="36">
        <f>VLOOKUP($C$30&amp;"-"&amp;B38,TB!A:D,4,0)</f>
        <v>0.2</v>
      </c>
      <c r="D38" s="37">
        <f t="shared" si="0"/>
        <v>40</v>
      </c>
    </row>
    <row r="39" spans="2:4" x14ac:dyDescent="0.25">
      <c r="B39" s="43" t="s">
        <v>26</v>
      </c>
      <c r="C39" s="38">
        <f>VLOOKUP($C$30&amp;"-"&amp;B39,TB!A:D,4,0)</f>
        <v>0.1</v>
      </c>
      <c r="D39" s="39">
        <f t="shared" si="0"/>
        <v>20</v>
      </c>
    </row>
    <row r="40" spans="2:4" ht="15.75" thickBot="1" x14ac:dyDescent="0.3">
      <c r="B40" s="31"/>
      <c r="C40" s="32"/>
      <c r="D40" s="33">
        <f>SUM(D34:D39)</f>
        <v>200</v>
      </c>
    </row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spans="2:4" x14ac:dyDescent="0.25"/>
    <row r="50" spans="2:4" x14ac:dyDescent="0.25"/>
    <row r="51" spans="2:4" x14ac:dyDescent="0.25"/>
    <row r="52" spans="2:4" x14ac:dyDescent="0.25"/>
    <row r="53" spans="2:4" x14ac:dyDescent="0.25"/>
    <row r="54" spans="2:4" x14ac:dyDescent="0.25"/>
    <row r="55" spans="2:4" x14ac:dyDescent="0.25"/>
    <row r="56" spans="2:4" x14ac:dyDescent="0.25"/>
    <row r="57" spans="2:4" x14ac:dyDescent="0.25"/>
    <row r="58" spans="2:4" x14ac:dyDescent="0.25">
      <c r="B58" s="52" t="s">
        <v>36</v>
      </c>
      <c r="C58" s="55" t="s">
        <v>37</v>
      </c>
      <c r="D58" s="55"/>
    </row>
    <row r="59" spans="2:4" x14ac:dyDescent="0.25">
      <c r="B59" s="47" t="s">
        <v>16</v>
      </c>
      <c r="C59" s="54">
        <f>Aporte</f>
        <v>200</v>
      </c>
      <c r="D59" s="54"/>
    </row>
    <row r="60" spans="2:4" ht="15.75" thickBot="1" x14ac:dyDescent="0.3"/>
    <row r="61" spans="2:4" x14ac:dyDescent="0.25">
      <c r="B61" s="40" t="s">
        <v>39</v>
      </c>
      <c r="C61" s="29" t="s">
        <v>18</v>
      </c>
      <c r="D61" s="30" t="s">
        <v>19</v>
      </c>
    </row>
    <row r="62" spans="2:4" x14ac:dyDescent="0.25">
      <c r="B62" s="49" t="s">
        <v>41</v>
      </c>
      <c r="C62" s="34">
        <f>IFERROR(VLOOKUP($C$58&amp;"-"&amp;B62,TB!A25:D34,4,0),0%)</f>
        <v>0.5</v>
      </c>
      <c r="D62" s="35">
        <f>C62*$C$59</f>
        <v>100</v>
      </c>
    </row>
    <row r="63" spans="2:4" x14ac:dyDescent="0.25">
      <c r="B63" s="50" t="s">
        <v>49</v>
      </c>
      <c r="C63" s="34">
        <f>IFERROR(VLOOKUP($C$58&amp;"-"&amp;B63,TB!A26:D35,4,0),0%)</f>
        <v>0.3</v>
      </c>
      <c r="D63" s="35">
        <f t="shared" ref="D63:D70" si="1">C63*$C$59</f>
        <v>60</v>
      </c>
    </row>
    <row r="64" spans="2:4" x14ac:dyDescent="0.25">
      <c r="B64" s="50" t="s">
        <v>40</v>
      </c>
      <c r="C64" s="34">
        <f>IFERROR(VLOOKUP($C$58&amp;"-"&amp;B64,TB!A27:D36,4,0),0%)</f>
        <v>0.2</v>
      </c>
      <c r="D64" s="35">
        <f t="shared" si="1"/>
        <v>40</v>
      </c>
    </row>
    <row r="65" spans="2:4" x14ac:dyDescent="0.25">
      <c r="B65" s="50" t="s">
        <v>47</v>
      </c>
      <c r="C65" s="34">
        <f>IFERROR(VLOOKUP($C$58&amp;"-"&amp;B65,TB!A28:D37,4,0),0%)</f>
        <v>0</v>
      </c>
      <c r="D65" s="35">
        <f t="shared" si="1"/>
        <v>0</v>
      </c>
    </row>
    <row r="66" spans="2:4" x14ac:dyDescent="0.25">
      <c r="B66" s="50" t="s">
        <v>42</v>
      </c>
      <c r="C66" s="34">
        <f>IFERROR(VLOOKUP($C$58&amp;"-"&amp;B66,TB!A29:D38,4,0),0%)</f>
        <v>0</v>
      </c>
      <c r="D66" s="35">
        <f t="shared" si="1"/>
        <v>0</v>
      </c>
    </row>
    <row r="67" spans="2:4" x14ac:dyDescent="0.25">
      <c r="B67" s="50" t="s">
        <v>48</v>
      </c>
      <c r="C67" s="34">
        <f>IFERROR(VLOOKUP($C$58&amp;"-"&amp;B67,TB!A30:D39,4,0),0%)</f>
        <v>0</v>
      </c>
      <c r="D67" s="35">
        <f t="shared" si="1"/>
        <v>0</v>
      </c>
    </row>
    <row r="68" spans="2:4" x14ac:dyDescent="0.25">
      <c r="B68" s="50" t="s">
        <v>43</v>
      </c>
      <c r="C68" s="34">
        <f>IFERROR(VLOOKUP($C$58&amp;"-"&amp;B68,TB!A31:D40,4,0),0%)</f>
        <v>0</v>
      </c>
      <c r="D68" s="35">
        <f t="shared" si="1"/>
        <v>0</v>
      </c>
    </row>
    <row r="69" spans="2:4" x14ac:dyDescent="0.25">
      <c r="B69" s="50" t="s">
        <v>44</v>
      </c>
      <c r="C69" s="34">
        <f>IFERROR(VLOOKUP($C$58&amp;"-"&amp;B69,TB!A32:D41,4,0),0%)</f>
        <v>0</v>
      </c>
      <c r="D69" s="35">
        <f t="shared" si="1"/>
        <v>0</v>
      </c>
    </row>
    <row r="70" spans="2:4" x14ac:dyDescent="0.25">
      <c r="B70" s="53" t="s">
        <v>45</v>
      </c>
      <c r="C70" s="34">
        <f>IFERROR(VLOOKUP($C$58&amp;"-"&amp;B70,TB!A33:D42,4,0),0%)</f>
        <v>0</v>
      </c>
      <c r="D70" s="35">
        <f t="shared" si="1"/>
        <v>0</v>
      </c>
    </row>
    <row r="71" spans="2:4" ht="15.75" thickBot="1" x14ac:dyDescent="0.3">
      <c r="B71" s="31"/>
      <c r="C71" s="32"/>
      <c r="D71" s="33">
        <f>SUM(D62:D70)</f>
        <v>200</v>
      </c>
    </row>
    <row r="72" spans="2:4" x14ac:dyDescent="0.25"/>
    <row r="73" spans="2:4" x14ac:dyDescent="0.25"/>
    <row r="74" spans="2:4" x14ac:dyDescent="0.25"/>
    <row r="75" spans="2:4" x14ac:dyDescent="0.25"/>
    <row r="76" spans="2:4" x14ac:dyDescent="0.25"/>
    <row r="77" spans="2:4" x14ac:dyDescent="0.25"/>
    <row r="78" spans="2:4" x14ac:dyDescent="0.25"/>
    <row r="79" spans="2:4" x14ac:dyDescent="0.25"/>
    <row r="80" spans="2:4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</sheetData>
  <mergeCells count="14">
    <mergeCell ref="C59:D59"/>
    <mergeCell ref="C58:D58"/>
    <mergeCell ref="C31:D31"/>
    <mergeCell ref="C30:D30"/>
    <mergeCell ref="B11:D11"/>
    <mergeCell ref="B12:C12"/>
    <mergeCell ref="B13:C13"/>
    <mergeCell ref="B14:C14"/>
    <mergeCell ref="B16:D16"/>
    <mergeCell ref="B17:C17"/>
    <mergeCell ref="B18:C18"/>
    <mergeCell ref="B19:C19"/>
    <mergeCell ref="B20:C20"/>
    <mergeCell ref="B21:C21"/>
  </mergeCells>
  <conditionalFormatting sqref="C62:D70">
    <cfRule type="cellIs" dxfId="0" priority="1" operator="greaterThan">
      <formula>0.0001</formula>
    </cfRule>
  </conditionalFormatting>
  <dataValidations count="2">
    <dataValidation type="list" allowBlank="1" showInputMessage="1" showErrorMessage="1" sqref="C30">
      <formula1>"Conservador, Moderado, Agressivo"</formula1>
    </dataValidation>
    <dataValidation type="list" allowBlank="1" showInputMessage="1" showErrorMessage="1" sqref="C58:D58">
      <formula1>"Necessidades, Desejos, Economias"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4"/>
  <sheetViews>
    <sheetView showGridLines="0" workbookViewId="0">
      <selection activeCell="D32" sqref="D32:D34"/>
    </sheetView>
  </sheetViews>
  <sheetFormatPr defaultRowHeight="15" x14ac:dyDescent="0.25"/>
  <cols>
    <col min="1" max="1" width="51.28515625" bestFit="1" customWidth="1"/>
    <col min="2" max="2" width="24.7109375" bestFit="1" customWidth="1"/>
    <col min="3" max="3" width="60.140625" bestFit="1" customWidth="1"/>
    <col min="7" max="7" width="17" bestFit="1" customWidth="1"/>
    <col min="8" max="8" width="4.5703125" bestFit="1" customWidth="1"/>
  </cols>
  <sheetData>
    <row r="3" spans="1:8" x14ac:dyDescent="0.25">
      <c r="A3" s="18" t="s">
        <v>29</v>
      </c>
      <c r="B3" s="18" t="s">
        <v>17</v>
      </c>
      <c r="C3" s="28" t="s">
        <v>27</v>
      </c>
      <c r="D3" s="28" t="s">
        <v>32</v>
      </c>
      <c r="H3" s="26" t="s">
        <v>32</v>
      </c>
    </row>
    <row r="4" spans="1:8" x14ac:dyDescent="0.25">
      <c r="A4" t="str">
        <f t="shared" ref="A4:A9" si="0">$B$5&amp;"-"&amp;C4</f>
        <v>Conservador-PAPEL</v>
      </c>
      <c r="B4" t="s">
        <v>28</v>
      </c>
      <c r="C4" s="19" t="s">
        <v>20</v>
      </c>
      <c r="D4" s="20">
        <v>0.3</v>
      </c>
      <c r="G4" s="18" t="s">
        <v>33</v>
      </c>
      <c r="H4" s="27">
        <f>VLOOKUP(G4,$A:$D,4,0)</f>
        <v>0.35</v>
      </c>
    </row>
    <row r="5" spans="1:8" x14ac:dyDescent="0.25">
      <c r="A5" t="str">
        <f t="shared" si="0"/>
        <v>Conservador-TIJOLO</v>
      </c>
      <c r="B5" t="s">
        <v>28</v>
      </c>
      <c r="C5" s="19" t="s">
        <v>21</v>
      </c>
      <c r="D5" s="20">
        <v>0.5</v>
      </c>
    </row>
    <row r="6" spans="1:8" x14ac:dyDescent="0.25">
      <c r="A6" t="str">
        <f t="shared" si="0"/>
        <v>Conservador-HÍDRIDOS</v>
      </c>
      <c r="B6" t="s">
        <v>28</v>
      </c>
      <c r="C6" s="19" t="s">
        <v>25</v>
      </c>
      <c r="D6" s="20">
        <v>0.1</v>
      </c>
    </row>
    <row r="7" spans="1:8" x14ac:dyDescent="0.25">
      <c r="A7" t="str">
        <f t="shared" si="0"/>
        <v>Conservador-FOFS</v>
      </c>
      <c r="B7" t="s">
        <v>28</v>
      </c>
      <c r="C7" s="19" t="s">
        <v>23</v>
      </c>
      <c r="D7" s="20">
        <v>0.1</v>
      </c>
    </row>
    <row r="8" spans="1:8" x14ac:dyDescent="0.25">
      <c r="A8" t="str">
        <f t="shared" si="0"/>
        <v>Conservador-DESENVOLVIMENTO</v>
      </c>
      <c r="B8" t="s">
        <v>28</v>
      </c>
      <c r="C8" s="19" t="s">
        <v>24</v>
      </c>
      <c r="D8" s="20">
        <v>0</v>
      </c>
    </row>
    <row r="9" spans="1:8" ht="15.75" thickBot="1" x14ac:dyDescent="0.3">
      <c r="A9" s="21" t="str">
        <f t="shared" si="0"/>
        <v>Conservador-HOTELARIAS</v>
      </c>
      <c r="B9" s="21" t="s">
        <v>28</v>
      </c>
      <c r="C9" s="22" t="s">
        <v>26</v>
      </c>
      <c r="D9" s="23">
        <v>0</v>
      </c>
    </row>
    <row r="10" spans="1:8" x14ac:dyDescent="0.25">
      <c r="A10" t="str">
        <f>$B$10&amp;"-"&amp;C10</f>
        <v>Moderado-PAPEL</v>
      </c>
      <c r="B10" t="s">
        <v>30</v>
      </c>
      <c r="C10" s="19" t="s">
        <v>20</v>
      </c>
      <c r="D10" s="24">
        <v>0.32</v>
      </c>
    </row>
    <row r="11" spans="1:8" x14ac:dyDescent="0.25">
      <c r="A11" t="str">
        <f t="shared" ref="A11:A15" si="1">$B$10&amp;"-"&amp;C11</f>
        <v>Moderado-TIJOLO</v>
      </c>
      <c r="B11" t="s">
        <v>30</v>
      </c>
      <c r="C11" s="19" t="s">
        <v>21</v>
      </c>
      <c r="D11" s="24">
        <v>0.35</v>
      </c>
    </row>
    <row r="12" spans="1:8" x14ac:dyDescent="0.25">
      <c r="A12" t="str">
        <f t="shared" si="1"/>
        <v>Moderado-HÍDRIDOS</v>
      </c>
      <c r="B12" t="s">
        <v>30</v>
      </c>
      <c r="C12" s="19" t="s">
        <v>25</v>
      </c>
      <c r="D12" s="24">
        <v>0.08</v>
      </c>
    </row>
    <row r="13" spans="1:8" x14ac:dyDescent="0.25">
      <c r="A13" t="str">
        <f t="shared" si="1"/>
        <v>Moderado-FOFS</v>
      </c>
      <c r="B13" t="s">
        <v>30</v>
      </c>
      <c r="C13" s="19" t="s">
        <v>23</v>
      </c>
      <c r="D13" s="24">
        <v>0.05</v>
      </c>
    </row>
    <row r="14" spans="1:8" x14ac:dyDescent="0.25">
      <c r="A14" t="str">
        <f t="shared" si="1"/>
        <v>Moderado-DESENVOLVIMENTO</v>
      </c>
      <c r="B14" t="s">
        <v>30</v>
      </c>
      <c r="C14" s="19" t="s">
        <v>24</v>
      </c>
      <c r="D14" s="24">
        <v>0.1</v>
      </c>
    </row>
    <row r="15" spans="1:8" ht="15.75" thickBot="1" x14ac:dyDescent="0.3">
      <c r="A15" s="21" t="str">
        <f t="shared" si="1"/>
        <v>Moderado-HOTELARIAS</v>
      </c>
      <c r="B15" s="21" t="s">
        <v>30</v>
      </c>
      <c r="C15" s="22" t="s">
        <v>26</v>
      </c>
      <c r="D15" s="25">
        <v>0.1</v>
      </c>
    </row>
    <row r="16" spans="1:8" x14ac:dyDescent="0.25">
      <c r="A16" t="str">
        <f>$B$16&amp;"-"&amp;C16</f>
        <v>Agressivo-PAPEL</v>
      </c>
      <c r="B16" t="s">
        <v>31</v>
      </c>
      <c r="C16" s="19" t="s">
        <v>20</v>
      </c>
      <c r="D16" s="24">
        <v>0.5</v>
      </c>
    </row>
    <row r="17" spans="1:4" x14ac:dyDescent="0.25">
      <c r="A17" t="str">
        <f t="shared" ref="A17:A21" si="2">$B$16&amp;"-"&amp;C17</f>
        <v>Agressivo-TIJOLO</v>
      </c>
      <c r="B17" t="s">
        <v>31</v>
      </c>
      <c r="C17" s="19" t="s">
        <v>21</v>
      </c>
      <c r="D17" s="24">
        <v>0.1</v>
      </c>
    </row>
    <row r="18" spans="1:4" x14ac:dyDescent="0.25">
      <c r="A18" t="str">
        <f t="shared" si="2"/>
        <v>Agressivo-HÍDRIDOS</v>
      </c>
      <c r="B18" t="s">
        <v>31</v>
      </c>
      <c r="C18" s="19" t="s">
        <v>25</v>
      </c>
      <c r="D18" s="24">
        <v>0.05</v>
      </c>
    </row>
    <row r="19" spans="1:4" x14ac:dyDescent="0.25">
      <c r="A19" t="str">
        <f t="shared" si="2"/>
        <v>Agressivo-FOFS</v>
      </c>
      <c r="B19" t="s">
        <v>31</v>
      </c>
      <c r="C19" s="19" t="s">
        <v>23</v>
      </c>
      <c r="D19" s="24">
        <v>0.05</v>
      </c>
    </row>
    <row r="20" spans="1:4" x14ac:dyDescent="0.25">
      <c r="A20" t="str">
        <f t="shared" si="2"/>
        <v>Agressivo-DESENVOLVIMENTO</v>
      </c>
      <c r="B20" t="s">
        <v>31</v>
      </c>
      <c r="C20" s="19" t="s">
        <v>24</v>
      </c>
      <c r="D20" s="24">
        <v>0.2</v>
      </c>
    </row>
    <row r="21" spans="1:4" x14ac:dyDescent="0.25">
      <c r="A21" t="str">
        <f t="shared" si="2"/>
        <v>Agressivo-HOTELARIAS</v>
      </c>
      <c r="B21" t="s">
        <v>31</v>
      </c>
      <c r="C21" s="19" t="s">
        <v>26</v>
      </c>
      <c r="D21" s="24">
        <v>0.1</v>
      </c>
    </row>
    <row r="25" spans="1:4" x14ac:dyDescent="0.25">
      <c r="A25" s="18" t="s">
        <v>35</v>
      </c>
      <c r="B25" s="18" t="s">
        <v>36</v>
      </c>
      <c r="C25" s="28" t="s">
        <v>39</v>
      </c>
      <c r="D25" s="28" t="s">
        <v>32</v>
      </c>
    </row>
    <row r="26" spans="1:4" x14ac:dyDescent="0.25">
      <c r="A26" s="51" t="str">
        <f>$B26&amp;"-"&amp;C26</f>
        <v>Necessidades-Aluguel/hipoteca</v>
      </c>
      <c r="B26" t="s">
        <v>37</v>
      </c>
      <c r="C26" t="s">
        <v>41</v>
      </c>
      <c r="D26" s="51">
        <v>0.5</v>
      </c>
    </row>
    <row r="27" spans="1:4" x14ac:dyDescent="0.25">
      <c r="A27" s="51" t="str">
        <f>$B27&amp;"-"&amp;C27</f>
        <v>Necessidades-Mantimentos/Transporte</v>
      </c>
      <c r="B27" t="s">
        <v>37</v>
      </c>
      <c r="C27" t="s">
        <v>49</v>
      </c>
      <c r="D27" s="51">
        <v>0.3</v>
      </c>
    </row>
    <row r="28" spans="1:4" x14ac:dyDescent="0.25">
      <c r="A28" s="51" t="str">
        <f>$B28&amp;"-"&amp;C28</f>
        <v>Necessidades-Contas</v>
      </c>
      <c r="B28" t="s">
        <v>37</v>
      </c>
      <c r="C28" t="s">
        <v>40</v>
      </c>
      <c r="D28" s="51">
        <v>0.2</v>
      </c>
    </row>
    <row r="29" spans="1:4" x14ac:dyDescent="0.25">
      <c r="A29" s="51" t="str">
        <f t="shared" ref="A29:A34" si="3">$B29&amp;"-"&amp;C29</f>
        <v>Desejos-Compras</v>
      </c>
      <c r="B29" t="s">
        <v>38</v>
      </c>
      <c r="C29" t="s">
        <v>47</v>
      </c>
      <c r="D29" s="51">
        <v>0.34</v>
      </c>
    </row>
    <row r="30" spans="1:4" x14ac:dyDescent="0.25">
      <c r="A30" s="51" t="str">
        <f t="shared" si="3"/>
        <v>Desejos-Entretenimento</v>
      </c>
      <c r="B30" t="s">
        <v>38</v>
      </c>
      <c r="C30" t="s">
        <v>42</v>
      </c>
      <c r="D30" s="51">
        <v>0.33</v>
      </c>
    </row>
    <row r="31" spans="1:4" x14ac:dyDescent="0.25">
      <c r="A31" s="51" t="str">
        <f t="shared" si="3"/>
        <v>Desejos-Hobbies</v>
      </c>
      <c r="B31" t="s">
        <v>38</v>
      </c>
      <c r="C31" t="s">
        <v>48</v>
      </c>
      <c r="D31" s="51">
        <v>0.33</v>
      </c>
    </row>
    <row r="32" spans="1:4" x14ac:dyDescent="0.25">
      <c r="A32" s="51" t="str">
        <f t="shared" si="3"/>
        <v>Economias-Mínima</v>
      </c>
      <c r="B32" t="s">
        <v>46</v>
      </c>
      <c r="C32" t="s">
        <v>43</v>
      </c>
      <c r="D32" s="51">
        <v>0.2</v>
      </c>
    </row>
    <row r="33" spans="1:4" x14ac:dyDescent="0.25">
      <c r="A33" s="51" t="str">
        <f t="shared" si="3"/>
        <v>Economias-Média</v>
      </c>
      <c r="B33" t="s">
        <v>46</v>
      </c>
      <c r="C33" t="s">
        <v>44</v>
      </c>
      <c r="D33" s="51">
        <v>0.3</v>
      </c>
    </row>
    <row r="34" spans="1:4" x14ac:dyDescent="0.25">
      <c r="A34" s="51" t="str">
        <f t="shared" si="3"/>
        <v>Economias-Máxima</v>
      </c>
      <c r="B34" t="s">
        <v>46</v>
      </c>
      <c r="C34" t="s">
        <v>45</v>
      </c>
      <c r="D34" s="51">
        <v>0.5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TB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Naira Nascimento</dc:creator>
  <cp:lastModifiedBy>Naira Nascimento</cp:lastModifiedBy>
  <dcterms:created xsi:type="dcterms:W3CDTF">2025-12-19T15:28:44Z</dcterms:created>
  <dcterms:modified xsi:type="dcterms:W3CDTF">2025-12-22T10:06:21Z</dcterms:modified>
</cp:coreProperties>
</file>